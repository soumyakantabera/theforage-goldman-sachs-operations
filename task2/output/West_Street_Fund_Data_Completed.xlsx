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<sst xmlns="http://schemas.openxmlformats.org/spreadsheetml/2006/main" count="20" uniqueCount="20">
  <si>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Category</t>
  </si>
  <si>
    <t xml:space="preserve">Class A: Opening Balance</t>
  </si>
  <si>
    <t xml:space="preserve">Class A: Quarter-to-Date</t>
  </si>
  <si>
    <t xml:space="preserve">Class A: History-to-Date</t>
  </si>
  <si>
    <t xml:space="preserve">Class A: Unitized</t>
  </si>
  <si>
    <t xml:space="preserve">Class C: Opening Balance</t>
  </si>
  <si>
    <t xml:space="preserve">Class C: Quarter-to-Date</t>
  </si>
  <si>
    <t xml:space="preserve">Class C: History-to-Date</t>
  </si>
  <si>
    <t xml:space="preserve">Class C: Unitized</t>
  </si>
  <si>
    <t xml:space="preserve">Contributions</t>
  </si>
  <si>
    <t xml:space="preserve">Distributions</t>
  </si>
  <si>
    <t xml:space="preserve">Management Fees Paid</t>
  </si>
  <si>
    <t xml:space="preserve">Net Income</t>
  </si>
  <si>
    <t xml:space="preserve">Total Assets</t>
  </si>
  <si>
    <t xml:space="preserve">Total Liabilities</t>
  </si>
  <si>
    <t xml:space="preserve">Net Assets</t>
  </si>
  <si>
    <t xml:space="preserve">Number of Outstanding Shares</t>
  </si>
  <si>
    <t xml:space="preserve">NAV</t>
  </si>
  <si>
    <t xml:space="preserve">Class A</t>
  </si>
  <si>
    <t xml:space="preserve">Class 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</si>
</sst>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sz val="12"/>
      <name val="Aptos Narrow"/>
      <family val="0"/>
      <charset val="1"/>
    </font>
    <font>
      <sz val="12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  <col collapsed="false" customWidth="true" hidden="false" outlineLevel="0" max="5" min="5" style="0" width="15"/>
    <col collapsed="false" customWidth="true" hidden="false" outlineLevel="0" max="8" min="6" style="0" width="18"/>
    <col collapsed="false" customWidth="true" hidden="false" outlineLevel="0" max="9" min="9" style="0" width="1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0" t="s">
        <v>9</v>
      </c>
      <c r="B2" s="2" t="n">
        <v>91000</v>
      </c>
      <c r="C2" s="2" t="n">
        <v>500</v>
      </c>
      <c r="D2" s="3" t="n">
        <f aca="false">B2+C2</f>
        <v>91500</v>
      </c>
      <c r="E2" s="3" t="n">
        <f aca="false">D2/$B$10*10000</f>
        <v>9150</v>
      </c>
      <c r="F2" s="2" t="n">
        <v>91000</v>
      </c>
      <c r="G2" s="2" t="n">
        <v>500</v>
      </c>
      <c r="H2" s="3" t="n">
        <f aca="false">F2+G2</f>
        <v>91500</v>
      </c>
      <c r="I2" s="3" t="n">
        <f aca="false">H2/$F$10*10000</f>
        <v>9150</v>
      </c>
    </row>
    <row r="3" customFormat="false" ht="15.75" hidden="false" customHeight="false" outlineLevel="0" collapsed="false">
      <c r="A3" s="0" t="s">
        <v>10</v>
      </c>
      <c r="B3" s="2" t="n">
        <v>20000</v>
      </c>
      <c r="C3" s="2" t="n">
        <v>490</v>
      </c>
      <c r="D3" s="3" t="n">
        <f aca="false">B3+C3</f>
        <v>20490</v>
      </c>
      <c r="E3" s="3" t="n">
        <f aca="false">D3/$B$10*10000</f>
        <v>2049</v>
      </c>
      <c r="F3" s="2" t="n">
        <v>20000</v>
      </c>
      <c r="G3" s="2" t="n">
        <v>490</v>
      </c>
      <c r="H3" s="3" t="n">
        <f aca="false">F3+G3</f>
        <v>20490</v>
      </c>
      <c r="I3" s="3" t="n">
        <f aca="false">H3/$F$10*10000</f>
        <v>2049</v>
      </c>
    </row>
    <row r="4" customFormat="false" ht="15.75" hidden="false" customHeight="false" outlineLevel="0" collapsed="false">
      <c r="A4" s="0" t="s">
        <v>11</v>
      </c>
      <c r="B4" s="2"/>
      <c r="C4" s="2"/>
      <c r="D4" s="3" t="n">
        <f aca="false">B4+C4</f>
        <v>0</v>
      </c>
      <c r="E4" s="3" t="n">
        <f aca="false">D4/$B$10*10000</f>
        <v>0</v>
      </c>
      <c r="F4" s="2" t="n">
        <v>1800</v>
      </c>
      <c r="G4" s="2" t="n">
        <v>10</v>
      </c>
      <c r="H4" s="3" t="n">
        <f aca="false">F4+G4</f>
        <v>1810</v>
      </c>
      <c r="I4" s="3" t="n">
        <f aca="false">H4/$F$10*10000</f>
        <v>181</v>
      </c>
    </row>
    <row r="5" customFormat="false" ht="15.75" hidden="false" customHeight="false" outlineLevel="0" collapsed="false">
      <c r="A5" s="0" t="s">
        <v>12</v>
      </c>
      <c r="B5" s="2" t="n">
        <v>49100</v>
      </c>
      <c r="C5" s="2" t="n">
        <v>1100</v>
      </c>
      <c r="D5" s="3" t="n">
        <f aca="false">B5+C5</f>
        <v>50200</v>
      </c>
      <c r="E5" s="3" t="n">
        <f aca="false">D5/$B$10*10000</f>
        <v>5020</v>
      </c>
      <c r="F5" s="2" t="n">
        <v>40870</v>
      </c>
      <c r="G5" s="2" t="n">
        <v>1000</v>
      </c>
      <c r="H5" s="3" t="n">
        <f aca="false">F5+G5</f>
        <v>41870</v>
      </c>
      <c r="I5" s="3" t="n">
        <f aca="false">H5/$F$10*10000</f>
        <v>4187</v>
      </c>
    </row>
    <row r="6" customFormat="false" ht="15.75" hidden="false" customHeight="false" outlineLevel="0" collapsed="false">
      <c r="B6" s="2"/>
      <c r="C6" s="2"/>
      <c r="D6" s="2"/>
      <c r="F6" s="2"/>
      <c r="G6" s="2"/>
      <c r="H6" s="2"/>
    </row>
    <row r="7" customFormat="false" ht="15.75" hidden="false" customHeight="false" outlineLevel="0" collapsed="false">
      <c r="A7" s="1" t="s">
        <v>13</v>
      </c>
      <c r="D7" s="2"/>
      <c r="E7" s="4" t="n">
        <f aca="false">E2+E5</f>
        <v>14170</v>
      </c>
      <c r="H7" s="2"/>
      <c r="I7" s="4" t="n">
        <f aca="false">I2+I5</f>
        <v>13337</v>
      </c>
    </row>
    <row r="8" customFormat="false" ht="15.75" hidden="false" customHeight="false" outlineLevel="0" collapsed="false">
      <c r="A8" s="1" t="s">
        <v>14</v>
      </c>
      <c r="D8" s="2"/>
      <c r="E8" s="4" t="n">
        <f aca="false">E3-E4</f>
        <v>2049</v>
      </c>
      <c r="H8" s="2"/>
      <c r="I8" s="4" t="n">
        <f aca="false">I3-I4</f>
        <v>1868</v>
      </c>
    </row>
    <row r="9" customFormat="false" ht="15.75" hidden="false" customHeight="false" outlineLevel="0" collapsed="false">
      <c r="A9" s="1" t="s">
        <v>15</v>
      </c>
      <c r="D9" s="2"/>
      <c r="E9" s="4" t="n">
        <f aca="false">E7-E8</f>
        <v>12121</v>
      </c>
      <c r="H9" s="2"/>
      <c r="I9" s="4" t="n">
        <f aca="false">I7-I8</f>
        <v>11469</v>
      </c>
    </row>
    <row r="10" customFormat="false" ht="15.75" hidden="false" customHeight="false" outlineLevel="0" collapsed="false">
      <c r="A10" s="1" t="s">
        <v>16</v>
      </c>
      <c r="B10" s="2" t="n">
        <v>100000</v>
      </c>
      <c r="F10" s="2" t="n">
        <v>100000</v>
      </c>
    </row>
    <row r="11" customFormat="false" ht="6.75" hidden="false" customHeight="true" outlineLevel="0" collapsed="false">
      <c r="A11" s="5"/>
      <c r="B11" s="6"/>
      <c r="C11" s="7"/>
      <c r="D11" s="7"/>
      <c r="E11" s="7"/>
      <c r="F11" s="6"/>
      <c r="G11" s="7"/>
      <c r="H11" s="7"/>
      <c r="I11" s="7"/>
    </row>
    <row r="12" customFormat="false" ht="15.75" hidden="false" customHeight="false" outlineLevel="0" collapsed="false">
      <c r="A12" s="1" t="s">
        <v>17</v>
      </c>
    </row>
    <row r="13" customFormat="false" ht="15.75" hidden="false" customHeight="false" outlineLevel="0" collapsed="false">
      <c r="A13" s="8" t="s">
        <v>18</v>
      </c>
      <c r="B13" s="9"/>
      <c r="E13" s="4" t="n">
        <f aca="false">E9</f>
        <v>12121</v>
      </c>
    </row>
    <row r="14" customFormat="false" ht="15.75" hidden="false" customHeight="false" outlineLevel="0" collapsed="false">
      <c r="A14" s="8" t="s">
        <v>19</v>
      </c>
      <c r="B14" s="9"/>
      <c r="I14" s="4" t="n">
        <f aca="false">I9</f>
        <v>11469</v>
      </c>
    </row>
    <row r="20" customFormat="false" ht="15.75" hidden="false" customHeight="false" outlineLevel="0" collapsed="false">
      <c r="B20" s="2"/>
      <c r="D2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2024-06-25T01:07:41Z</dcterms:created>
  <dc:creator>Chappell, Garrett</dc:creator>
  <dc:description/>
  <dc:language>en-US</dc:language>
  <cp:lastModifiedBy>Prell, Anna</cp:lastModifiedBy>
  <dcterms:modified xsi:type="dcterms:W3CDTF">2026-04-29T21:49:05Z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